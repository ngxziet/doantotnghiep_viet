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.1 Quang duong" sheetId="1" state="visible" r:id="rId1"/>
    <sheet xmlns:r="http://schemas.openxmlformats.org/officeDocument/2006/relationships" name="5.2 Xoay goc" sheetId="2" state="visible" r:id="rId2"/>
    <sheet xmlns:r="http://schemas.openxmlformats.org/officeDocument/2006/relationships" name="5.3 Giu huong" sheetId="3" state="visible" r:id="rId3"/>
    <sheet xmlns:r="http://schemas.openxmlformats.org/officeDocument/2006/relationships" name="5.4 Node" sheetId="4" state="visible" r:id="rId4"/>
    <sheet xmlns:r="http://schemas.openxmlformats.org/officeDocument/2006/relationships" name="5.5 HC-SR04" sheetId="5" state="visible" r:id="rId5"/>
    <sheet xmlns:r="http://schemas.openxmlformats.org/officeDocument/2006/relationships" name="5.6 Ne vat can" sheetId="6" state="visible" r:id="rId6"/>
    <sheet xmlns:r="http://schemas.openxmlformats.org/officeDocument/2006/relationships" name="5.7 Drift yaw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9C5700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8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13" customWidth="1" min="12" max="12"/>
    <col width="13" customWidth="1" min="13" max="13"/>
    <col width="11" customWidth="1" min="14" max="14"/>
  </cols>
  <sheetData>
    <row r="1" ht="28" customHeight="1">
      <c r="A1" s="1" t="inlineStr">
        <is>
          <t>SO LIEU MAU - THAY BANG DO THUC TE TRUOC KHI NOP. Moi phep do 10 lan (Lan1..Lan10); o xanh la = cong thuc tu tinh, dung sua.</t>
        </is>
      </c>
    </row>
    <row r="2">
      <c r="A2" s="2" t="inlineStr">
        <is>
          <t>Quang duong lenh (m)</t>
        </is>
      </c>
      <c r="B2" s="2" t="inlineStr">
        <is>
          <t>Lan1</t>
        </is>
      </c>
      <c r="C2" s="2" t="inlineStr">
        <is>
          <t>Lan2</t>
        </is>
      </c>
      <c r="D2" s="2" t="inlineStr">
        <is>
          <t>Lan3</t>
        </is>
      </c>
      <c r="E2" s="2" t="inlineStr">
        <is>
          <t>Lan4</t>
        </is>
      </c>
      <c r="F2" s="2" t="inlineStr">
        <is>
          <t>Lan5</t>
        </is>
      </c>
      <c r="G2" s="2" t="inlineStr">
        <is>
          <t>Lan6</t>
        </is>
      </c>
      <c r="H2" s="2" t="inlineStr">
        <is>
          <t>Lan7</t>
        </is>
      </c>
      <c r="I2" s="2" t="inlineStr">
        <is>
          <t>Lan8</t>
        </is>
      </c>
      <c r="J2" s="2" t="inlineStr">
        <is>
          <t>Lan9</t>
        </is>
      </c>
      <c r="K2" s="2" t="inlineStr">
        <is>
          <t>Lan10</t>
        </is>
      </c>
      <c r="L2" s="2" t="inlineStr">
        <is>
          <t>Do thuc TB (m)</t>
        </is>
      </c>
      <c r="M2" s="2" t="inlineStr">
        <is>
          <t>Sai so TB (cm)</t>
        </is>
      </c>
      <c r="N2" s="2" t="inlineStr">
        <is>
          <t>Sai so (%)</t>
        </is>
      </c>
    </row>
    <row r="3">
      <c r="A3" s="3" t="n">
        <v>0.5</v>
      </c>
      <c r="B3" s="3" t="n">
        <v>0.5</v>
      </c>
      <c r="C3" s="3" t="n">
        <v>0.48</v>
      </c>
      <c r="D3" s="3" t="n">
        <v>0.49</v>
      </c>
      <c r="E3" s="3" t="n">
        <v>0.49</v>
      </c>
      <c r="F3" s="3" t="n">
        <v>0.5</v>
      </c>
      <c r="G3" s="3" t="n">
        <v>0.5</v>
      </c>
      <c r="H3" s="3" t="n">
        <v>0.5</v>
      </c>
      <c r="I3" s="3" t="n">
        <v>0.49</v>
      </c>
      <c r="J3" s="3" t="n">
        <v>0.49</v>
      </c>
      <c r="K3" s="3" t="n">
        <v>0.48</v>
      </c>
      <c r="L3" s="4">
        <f>AVERAGE(B3:K3)</f>
        <v/>
      </c>
      <c r="M3" s="4">
        <f>ABS(A3-L3)*100</f>
        <v/>
      </c>
      <c r="N3" s="4">
        <f>ABS(A3-L3)/A3*100</f>
        <v/>
      </c>
    </row>
    <row r="4">
      <c r="A4" s="3" t="n">
        <v>1</v>
      </c>
      <c r="B4" s="3" t="n">
        <v>0.98</v>
      </c>
      <c r="C4" s="3" t="n">
        <v>0.99</v>
      </c>
      <c r="D4" s="3" t="n">
        <v>0.97</v>
      </c>
      <c r="E4" s="3" t="n">
        <v>0.98</v>
      </c>
      <c r="F4" s="3" t="n">
        <v>0.99</v>
      </c>
      <c r="G4" s="3" t="n">
        <v>0.99</v>
      </c>
      <c r="H4" s="3" t="n">
        <v>0.98</v>
      </c>
      <c r="I4" s="3" t="n">
        <v>0.99</v>
      </c>
      <c r="J4" s="3" t="n">
        <v>0.99</v>
      </c>
      <c r="K4" s="3" t="n">
        <v>0.97</v>
      </c>
      <c r="L4" s="4">
        <f>AVERAGE(B4:K4)</f>
        <v/>
      </c>
      <c r="M4" s="4">
        <f>ABS(A4-L4)*100</f>
        <v/>
      </c>
      <c r="N4" s="4">
        <f>ABS(A4-L4)/A4*100</f>
        <v/>
      </c>
    </row>
    <row r="5">
      <c r="A5" s="3" t="n">
        <v>2</v>
      </c>
      <c r="B5" s="3" t="n">
        <v>1.98</v>
      </c>
      <c r="C5" s="3" t="n">
        <v>1.97</v>
      </c>
      <c r="D5" s="3" t="n">
        <v>1.96</v>
      </c>
      <c r="E5" s="3" t="n">
        <v>1.95</v>
      </c>
      <c r="F5" s="3" t="n">
        <v>1.98</v>
      </c>
      <c r="G5" s="3" t="n">
        <v>1.96</v>
      </c>
      <c r="H5" s="3" t="n">
        <v>1.95</v>
      </c>
      <c r="I5" s="3" t="n">
        <v>1.95</v>
      </c>
      <c r="J5" s="3" t="n">
        <v>1.98</v>
      </c>
      <c r="K5" s="3" t="n">
        <v>1.97</v>
      </c>
      <c r="L5" s="4">
        <f>AVERAGE(B5:K5)</f>
        <v/>
      </c>
      <c r="M5" s="4">
        <f>ABS(A5-L5)*100</f>
        <v/>
      </c>
      <c r="N5" s="4">
        <f>ABS(A5-L5)/A5*100</f>
        <v/>
      </c>
    </row>
  </sheetData>
  <mergeCells count="1"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14" customWidth="1" min="12" max="12"/>
    <col width="14" customWidth="1" min="13" max="13"/>
    <col width="16" customWidth="1" min="14" max="14"/>
  </cols>
  <sheetData>
    <row r="1" ht="28" customHeight="1">
      <c r="A1" s="1" t="inlineStr">
        <is>
          <t>SO LIEU MAU - THAY BANG DO THUC TE TRUOC KHI NOP. Moi phep do 10 lan (Lan1..Lan10); o xanh la = cong thuc tu tinh, dung sua.</t>
        </is>
      </c>
    </row>
    <row r="2">
      <c r="A2" s="2" t="inlineStr">
        <is>
          <t>Goc lenh (do)</t>
        </is>
      </c>
      <c r="B2" s="2" t="inlineStr">
        <is>
          <t>Lan1</t>
        </is>
      </c>
      <c r="C2" s="2" t="inlineStr">
        <is>
          <t>Lan2</t>
        </is>
      </c>
      <c r="D2" s="2" t="inlineStr">
        <is>
          <t>Lan3</t>
        </is>
      </c>
      <c r="E2" s="2" t="inlineStr">
        <is>
          <t>Lan4</t>
        </is>
      </c>
      <c r="F2" s="2" t="inlineStr">
        <is>
          <t>Lan5</t>
        </is>
      </c>
      <c r="G2" s="2" t="inlineStr">
        <is>
          <t>Lan6</t>
        </is>
      </c>
      <c r="H2" s="2" t="inlineStr">
        <is>
          <t>Lan7</t>
        </is>
      </c>
      <c r="I2" s="2" t="inlineStr">
        <is>
          <t>Lan8</t>
        </is>
      </c>
      <c r="J2" s="2" t="inlineStr">
        <is>
          <t>Lan9</t>
        </is>
      </c>
      <c r="K2" s="2" t="inlineStr">
        <is>
          <t>Lan10</t>
        </is>
      </c>
      <c r="L2" s="2" t="inlineStr">
        <is>
          <t>Goc do TB (do)</t>
        </is>
      </c>
      <c r="M2" s="2" t="inlineStr">
        <is>
          <t>Sai so TB (do)</t>
        </is>
      </c>
      <c r="N2" s="2" t="inlineStr">
        <is>
          <t>Do lech chuan (do)</t>
        </is>
      </c>
    </row>
    <row r="3">
      <c r="A3" s="3" t="n">
        <v>45</v>
      </c>
      <c r="B3" s="3" t="n">
        <v>44.7</v>
      </c>
      <c r="C3" s="3" t="n">
        <v>44.6</v>
      </c>
      <c r="D3" s="3" t="n">
        <v>44.4</v>
      </c>
      <c r="E3" s="3" t="n">
        <v>45</v>
      </c>
      <c r="F3" s="3" t="n">
        <v>44.1</v>
      </c>
      <c r="G3" s="3" t="n">
        <v>44.4</v>
      </c>
      <c r="H3" s="3" t="n">
        <v>44.8</v>
      </c>
      <c r="I3" s="3" t="n">
        <v>44.5</v>
      </c>
      <c r="J3" s="3" t="n">
        <v>44.8</v>
      </c>
      <c r="K3" s="3" t="n">
        <v>44.4</v>
      </c>
      <c r="L3" s="4">
        <f>AVERAGE(B3:K3)</f>
        <v/>
      </c>
      <c r="M3" s="4">
        <f>ABS(A3-L3)</f>
        <v/>
      </c>
      <c r="N3" s="4">
        <f>STDEV.S(B3:K3)</f>
        <v/>
      </c>
    </row>
    <row r="4">
      <c r="A4" s="3" t="n">
        <v>90</v>
      </c>
      <c r="B4" s="3" t="n">
        <v>89</v>
      </c>
      <c r="C4" s="3" t="n">
        <v>87.8</v>
      </c>
      <c r="D4" s="3" t="n">
        <v>88.09999999999999</v>
      </c>
      <c r="E4" s="3" t="n">
        <v>88.2</v>
      </c>
      <c r="F4" s="3" t="n">
        <v>87.8</v>
      </c>
      <c r="G4" s="3" t="n">
        <v>88.09999999999999</v>
      </c>
      <c r="H4" s="3" t="n">
        <v>87.90000000000001</v>
      </c>
      <c r="I4" s="3" t="n">
        <v>88.2</v>
      </c>
      <c r="J4" s="3" t="n">
        <v>88.8</v>
      </c>
      <c r="K4" s="3" t="n">
        <v>88.40000000000001</v>
      </c>
      <c r="L4" s="4">
        <f>AVERAGE(B4:K4)</f>
        <v/>
      </c>
      <c r="M4" s="4">
        <f>ABS(A4-L4)</f>
        <v/>
      </c>
      <c r="N4" s="4">
        <f>STDEV.S(B4:K4)</f>
        <v/>
      </c>
    </row>
    <row r="5">
      <c r="A5" s="3" t="n">
        <v>180</v>
      </c>
      <c r="B5" s="3" t="n">
        <v>177.1</v>
      </c>
      <c r="C5" s="3" t="n">
        <v>176.6</v>
      </c>
      <c r="D5" s="3" t="n">
        <v>176.8</v>
      </c>
      <c r="E5" s="3" t="n">
        <v>178.5</v>
      </c>
      <c r="F5" s="3" t="n">
        <v>177.8</v>
      </c>
      <c r="G5" s="3" t="n">
        <v>177.7</v>
      </c>
      <c r="H5" s="3" t="n">
        <v>176.5</v>
      </c>
      <c r="I5" s="3" t="n">
        <v>178</v>
      </c>
      <c r="J5" s="3" t="n">
        <v>176.5</v>
      </c>
      <c r="K5" s="3" t="n">
        <v>177.1</v>
      </c>
      <c r="L5" s="4">
        <f>AVERAGE(B5:K5)</f>
        <v/>
      </c>
      <c r="M5" s="4">
        <f>ABS(A5-L5)</f>
        <v/>
      </c>
      <c r="N5" s="4">
        <f>STDEV.S(B5:K5)</f>
        <v/>
      </c>
    </row>
  </sheetData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</cols>
  <sheetData>
    <row r="1" ht="28" customHeight="1">
      <c r="A1" s="1" t="inlineStr">
        <is>
          <t>SO LIEU MAU - THAY BANG DO THUC TE TRUOC KHI NOP. Moi phep do 10 lan (Lan1..Lan10); o xanh la = cong thuc tu tinh, dung sua.</t>
        </is>
      </c>
    </row>
    <row r="2">
      <c r="A2" s="2" t="inlineStr">
        <is>
          <t>Lan do</t>
        </is>
      </c>
      <c r="B2" s="2" t="inlineStr">
        <is>
          <t>Do lech ngang tai 3m (cm)</t>
        </is>
      </c>
      <c r="C2" s="2" t="inlineStr">
        <is>
          <t>Goc lech tuong duong (do)</t>
        </is>
      </c>
    </row>
    <row r="3">
      <c r="A3" s="3" t="n">
        <v>1</v>
      </c>
      <c r="B3" s="3" t="n">
        <v>8.9</v>
      </c>
      <c r="C3" s="4">
        <f>DEGREES(ATAN(B3/300))</f>
        <v/>
      </c>
    </row>
    <row r="4">
      <c r="A4" s="3" t="n">
        <v>2</v>
      </c>
      <c r="B4" s="3" t="n">
        <v>7.2</v>
      </c>
      <c r="C4" s="4">
        <f>DEGREES(ATAN(B4/300))</f>
        <v/>
      </c>
    </row>
    <row r="5">
      <c r="A5" s="3" t="n">
        <v>3</v>
      </c>
      <c r="B5" s="3" t="n">
        <v>6.8</v>
      </c>
      <c r="C5" s="4">
        <f>DEGREES(ATAN(B5/300))</f>
        <v/>
      </c>
    </row>
    <row r="6">
      <c r="A6" s="3" t="n">
        <v>4</v>
      </c>
      <c r="B6" s="3" t="n">
        <v>7.4</v>
      </c>
      <c r="C6" s="4">
        <f>DEGREES(ATAN(B6/300))</f>
        <v/>
      </c>
    </row>
    <row r="7">
      <c r="A7" s="3" t="n">
        <v>5</v>
      </c>
      <c r="B7" s="3" t="n">
        <v>8.199999999999999</v>
      </c>
      <c r="C7" s="4">
        <f>DEGREES(ATAN(B7/300))</f>
        <v/>
      </c>
    </row>
    <row r="8">
      <c r="A8" s="3" t="n">
        <v>6</v>
      </c>
      <c r="B8" s="3" t="n">
        <v>7.9</v>
      </c>
      <c r="C8" s="4">
        <f>DEGREES(ATAN(B8/300))</f>
        <v/>
      </c>
    </row>
    <row r="9">
      <c r="A9" s="3" t="n">
        <v>7</v>
      </c>
      <c r="B9" s="3" t="n">
        <v>5.1</v>
      </c>
      <c r="C9" s="4">
        <f>DEGREES(ATAN(B9/300))</f>
        <v/>
      </c>
    </row>
    <row r="10">
      <c r="A10" s="3" t="n">
        <v>8</v>
      </c>
      <c r="B10" s="3" t="n">
        <v>4.2</v>
      </c>
      <c r="C10" s="4">
        <f>DEGREES(ATAN(B10/300))</f>
        <v/>
      </c>
    </row>
    <row r="11">
      <c r="A11" s="3" t="n">
        <v>9</v>
      </c>
      <c r="B11" s="3" t="n">
        <v>5.6</v>
      </c>
      <c r="C11" s="4">
        <f>DEGREES(ATAN(B11/300))</f>
        <v/>
      </c>
    </row>
    <row r="12">
      <c r="A12" s="3" t="n">
        <v>10</v>
      </c>
      <c r="B12" s="3" t="n">
        <v>5.3</v>
      </c>
      <c r="C12" s="4">
        <f>DEGREES(ATAN(B12/300))</f>
        <v/>
      </c>
    </row>
    <row r="13">
      <c r="A13" s="5" t="inlineStr">
        <is>
          <t>Trung binh</t>
        </is>
      </c>
      <c r="B13" s="4">
        <f>AVERAGE(B3:B12)</f>
        <v/>
      </c>
      <c r="C13" s="4">
        <f>AVERAGE(C3:C12)</f>
        <v/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14" customWidth="1" min="3" max="3"/>
    <col width="22" customWidth="1" min="4" max="4"/>
    <col width="20" customWidth="1" min="5" max="5"/>
  </cols>
  <sheetData>
    <row r="1" ht="28" customHeight="1">
      <c r="A1" s="1" t="inlineStr">
        <is>
          <t>SO LIEU MAU - THAY BANG DO THUC TE TRUOC KHI NOP. Moi phep do 10 lan (Lan1..Lan10); o xanh la = cong thuc tu tinh, dung sua.</t>
        </is>
      </c>
    </row>
    <row r="2">
      <c r="A2" s="2" t="inlineStr">
        <is>
          <t>Lo trinh</t>
        </is>
      </c>
      <c r="B2" s="2" t="inlineStr">
        <is>
          <t>So node</t>
        </is>
      </c>
      <c r="C2" s="2" t="inlineStr">
        <is>
          <t>Tong quang (m)</t>
        </is>
      </c>
      <c r="D2" s="2" t="inlineStr">
        <is>
          <t>Sai so vi tri cuoi (cm)</t>
        </is>
      </c>
      <c r="E2" s="2" t="inlineStr">
        <is>
          <t>Sai so goc cuoi (do)</t>
        </is>
      </c>
    </row>
    <row r="3">
      <c r="A3" s="3" t="inlineStr">
        <is>
          <t>Duong thang 4 node</t>
        </is>
      </c>
      <c r="B3" s="3" t="n">
        <v>4</v>
      </c>
      <c r="C3" s="3" t="n">
        <v>2</v>
      </c>
      <c r="D3" s="3" t="n">
        <v>7</v>
      </c>
      <c r="E3" s="3" t="n">
        <v>2.5</v>
      </c>
    </row>
    <row r="4">
      <c r="A4" s="3" t="inlineStr">
        <is>
          <t>Hinh vuong canh 0.5m</t>
        </is>
      </c>
      <c r="B4" s="3" t="n">
        <v>4</v>
      </c>
      <c r="C4" s="3" t="n">
        <v>2</v>
      </c>
      <c r="D4" s="3" t="n">
        <v>12</v>
      </c>
      <c r="E4" s="3" t="n">
        <v>4.8</v>
      </c>
    </row>
    <row r="5">
      <c r="A5" s="3" t="inlineStr">
        <is>
          <t>Chu L</t>
        </is>
      </c>
      <c r="B5" s="3" t="n">
        <v>3</v>
      </c>
      <c r="C5" s="3" t="n">
        <v>1.5</v>
      </c>
      <c r="D5" s="3" t="n">
        <v>9</v>
      </c>
      <c r="E5" s="3" t="n">
        <v>3.6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6" customWidth="1" min="3" max="3"/>
    <col width="16" customWidth="1" min="4" max="4"/>
    <col width="14" customWidth="1" min="5" max="5"/>
  </cols>
  <sheetData>
    <row r="1" ht="28" customHeight="1">
      <c r="A1" s="1" t="inlineStr">
        <is>
          <t>SO LIEU MAU - THAY BANG DO THUC TE TRUOC KHI NOP. Moi phep do 10 lan (Lan1..Lan10); o xanh la = cong thuc tu tinh, dung sua.</t>
        </is>
      </c>
    </row>
    <row r="2">
      <c r="A2" s="2" t="inlineStr">
        <is>
          <t>Khoang cach thuc (cm)</t>
        </is>
      </c>
      <c r="B2" s="2" t="inlineStr">
        <is>
          <t>Do giua (cm)</t>
        </is>
      </c>
      <c r="C2" s="2" t="inlineStr">
        <is>
          <t>Do trai +90 (cm)</t>
        </is>
      </c>
      <c r="D2" s="2" t="inlineStr">
        <is>
          <t>Do phai -90 (cm)</t>
        </is>
      </c>
      <c r="E2" s="2" t="inlineStr">
        <is>
          <t>Sai so TB (cm)</t>
        </is>
      </c>
    </row>
    <row r="3">
      <c r="A3" s="3" t="n">
        <v>10</v>
      </c>
      <c r="B3" s="3" t="n">
        <v>10.2</v>
      </c>
      <c r="C3" s="3" t="n">
        <v>10.4</v>
      </c>
      <c r="D3" s="3" t="n">
        <v>9.800000000000001</v>
      </c>
      <c r="E3" s="4">
        <f>(ABS(B3-A3)+ABS(C3-A3)+ABS(D3-A3))/3</f>
        <v/>
      </c>
    </row>
    <row r="4">
      <c r="A4" s="3" t="n">
        <v>20</v>
      </c>
      <c r="B4" s="3" t="n">
        <v>20.3</v>
      </c>
      <c r="C4" s="3" t="n">
        <v>19.6</v>
      </c>
      <c r="D4" s="3" t="n">
        <v>20.5</v>
      </c>
      <c r="E4" s="4">
        <f>(ABS(B4-A4)+ABS(C4-A4)+ABS(D4-A4))/3</f>
        <v/>
      </c>
    </row>
    <row r="5">
      <c r="A5" s="3" t="n">
        <v>30</v>
      </c>
      <c r="B5" s="3" t="n">
        <v>29.7</v>
      </c>
      <c r="C5" s="3" t="n">
        <v>30.6</v>
      </c>
      <c r="D5" s="3" t="n">
        <v>29.4</v>
      </c>
      <c r="E5" s="4">
        <f>(ABS(B5-A5)+ABS(C5-A5)+ABS(D5-A5))/3</f>
        <v/>
      </c>
    </row>
    <row r="6">
      <c r="A6" s="3" t="n">
        <v>50</v>
      </c>
      <c r="B6" s="3" t="n">
        <v>50.8</v>
      </c>
      <c r="C6" s="3" t="n">
        <v>49.1</v>
      </c>
      <c r="D6" s="3" t="n">
        <v>51.2</v>
      </c>
      <c r="E6" s="4">
        <f>(ABS(B6-A6)+ABS(C6-A6)+ABS(D6-A6))/3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34" customWidth="1" min="4" max="4"/>
  </cols>
  <sheetData>
    <row r="1" ht="28" customHeight="1">
      <c r="A1" s="1" t="inlineStr">
        <is>
          <t>SO LIEU MAU - THAY BANG DO THUC TE TRUOC KHI NOP. Moi phep do 10 lan (Lan1..Lan10); o xanh la = cong thuc tu tinh, dung sua.</t>
        </is>
      </c>
    </row>
    <row r="2">
      <c r="A2" s="2" t="inlineStr">
        <is>
          <t>Luot thu</t>
        </is>
      </c>
      <c r="B2" s="2" t="inlineStr">
        <is>
          <t>Khoang cach dung (cm)</t>
        </is>
      </c>
      <c r="C2" s="2" t="inlineStr">
        <is>
          <t>Ne thanh cong (Co/Khong)</t>
        </is>
      </c>
      <c r="D2" s="2" t="inlineStr">
        <is>
          <t>Ghi chu</t>
        </is>
      </c>
    </row>
    <row r="3">
      <c r="A3" s="3" t="n">
        <v>1</v>
      </c>
      <c r="B3" s="3" t="n">
        <v>26.7</v>
      </c>
      <c r="C3" s="3" t="inlineStr">
        <is>
          <t>Co</t>
        </is>
      </c>
      <c r="D3" s="6" t="inlineStr"/>
    </row>
    <row r="4">
      <c r="A4" s="3" t="n">
        <v>2</v>
      </c>
      <c r="B4" s="3" t="n">
        <v>29.3</v>
      </c>
      <c r="C4" s="3" t="inlineStr">
        <is>
          <t>Co</t>
        </is>
      </c>
      <c r="D4" s="6" t="inlineStr"/>
    </row>
    <row r="5">
      <c r="A5" s="3" t="n">
        <v>3</v>
      </c>
      <c r="B5" s="3" t="n">
        <v>29.1</v>
      </c>
      <c r="C5" s="3" t="inlineStr">
        <is>
          <t>Co</t>
        </is>
      </c>
      <c r="D5" s="6" t="inlineStr"/>
    </row>
    <row r="6">
      <c r="A6" s="3" t="n">
        <v>4</v>
      </c>
      <c r="B6" s="3" t="n">
        <v>27.1</v>
      </c>
      <c r="C6" s="3" t="inlineStr">
        <is>
          <t>Khong</t>
        </is>
      </c>
      <c r="D6" s="6" t="inlineStr">
        <is>
          <t>Vat mong (chan ghe), phat hien tre</t>
        </is>
      </c>
    </row>
    <row r="7">
      <c r="A7" s="3" t="n">
        <v>5</v>
      </c>
      <c r="B7" s="3" t="n">
        <v>28.3</v>
      </c>
      <c r="C7" s="3" t="inlineStr">
        <is>
          <t>Co</t>
        </is>
      </c>
      <c r="D7" s="6" t="inlineStr"/>
    </row>
    <row r="8">
      <c r="A8" s="3" t="n">
        <v>6</v>
      </c>
      <c r="B8" s="3" t="n">
        <v>27.4</v>
      </c>
      <c r="C8" s="3" t="inlineStr">
        <is>
          <t>Co</t>
        </is>
      </c>
      <c r="D8" s="6" t="inlineStr"/>
    </row>
    <row r="9">
      <c r="A9" s="3" t="n">
        <v>7</v>
      </c>
      <c r="B9" s="3" t="n">
        <v>29.2</v>
      </c>
      <c r="C9" s="3" t="inlineStr">
        <is>
          <t>Co</t>
        </is>
      </c>
      <c r="D9" s="6" t="inlineStr"/>
    </row>
    <row r="10">
      <c r="A10" s="3" t="n">
        <v>8</v>
      </c>
      <c r="B10" s="3" t="n">
        <v>27.6</v>
      </c>
      <c r="C10" s="3" t="inlineStr">
        <is>
          <t>Co</t>
        </is>
      </c>
      <c r="D10" s="6" t="inlineStr"/>
    </row>
    <row r="11">
      <c r="A11" s="3" t="n">
        <v>9</v>
      </c>
      <c r="B11" s="3" t="n">
        <v>26.9</v>
      </c>
      <c r="C11" s="3" t="inlineStr">
        <is>
          <t>Khong</t>
        </is>
      </c>
      <c r="D11" s="6" t="inlineStr">
        <is>
          <t>Vat cham hap thu song, do gan</t>
        </is>
      </c>
    </row>
    <row r="12">
      <c r="A12" s="3" t="n">
        <v>10</v>
      </c>
      <c r="B12" s="3" t="n">
        <v>26.9</v>
      </c>
      <c r="C12" s="3" t="inlineStr">
        <is>
          <t>Co</t>
        </is>
      </c>
      <c r="D12" s="6" t="inlineStr"/>
    </row>
    <row r="13">
      <c r="A13" s="5" t="inlineStr">
        <is>
          <t>Ti le thanh cong</t>
        </is>
      </c>
      <c r="B13" s="4">
        <f>COUNTIF(C3:C12,"Co")&amp;"/"&amp;COUNTA(C3:C12)&amp;" ("&amp;ROUND(COUNTIF(C3:C12,"Co")/COUNTA(C3:C12)*100,0)&amp;"%)"</f>
        <v/>
      </c>
      <c r="C13" s="3" t="n"/>
      <c r="D13" s="3" t="n"/>
    </row>
    <row r="14">
      <c r="A14" s="5" t="inlineStr">
        <is>
          <t>Kc dung TB (cm)</t>
        </is>
      </c>
      <c r="B14" s="4">
        <f>AVERAGE(B3:B12)</f>
        <v/>
      </c>
      <c r="C14" s="3" t="n"/>
      <c r="D14" s="3" t="n"/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1" ht="28" customHeight="1">
      <c r="A1" s="1" t="inlineStr">
        <is>
          <t>SO LIEU MAU - THAY BANG DO THUC TE TRUOC KHI NOP. Moi phep do 10 lan (Lan1..Lan10); o xanh la = cong thuc tu tinh, dung sua.</t>
        </is>
      </c>
    </row>
    <row r="2">
      <c r="A2" s="2" t="inlineStr">
        <is>
          <t>Thoi gian dung yen (s)</t>
        </is>
      </c>
      <c r="B2" s="2" t="inlineStr">
        <is>
          <t>Do troi yaw (do)</t>
        </is>
      </c>
    </row>
    <row r="3">
      <c r="A3" s="3" t="n">
        <v>30</v>
      </c>
      <c r="B3" s="3" t="n">
        <v>0.3</v>
      </c>
    </row>
    <row r="4">
      <c r="A4" s="3" t="n">
        <v>60</v>
      </c>
      <c r="B4" s="3" t="n">
        <v>0.6</v>
      </c>
    </row>
    <row r="5">
      <c r="A5" s="3" t="n">
        <v>300</v>
      </c>
      <c r="B5" s="3" t="n">
        <v>2.1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2026-06-23T02:45:16Z</dcterms:created>
  <dcterms:modified xmlns:dcterms="http://purl.org/dc/terms/" xmlns:xsi="http://www.w3.org/2001/XMLSchema-instance" xsi:type="dcterms:W3CDTF">2026-06-23T02:45:16Z</dcterms:modified>
</cp:coreProperties>
</file>