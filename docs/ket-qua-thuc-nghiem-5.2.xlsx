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1 Quang duong" sheetId="1" state="visible" r:id="rId1"/>
    <sheet name="5.2 Xoay goc" sheetId="2" state="visible" r:id="rId2"/>
    <sheet name="5.3 Giu huong" sheetId="3" state="visible" r:id="rId3"/>
    <sheet name="5.4 Node" sheetId="4" state="visible" r:id="rId4"/>
    <sheet name="5.5 HC-SR04" sheetId="5" state="visible" r:id="rId5"/>
    <sheet name="5.6 Ne vat can" sheetId="6" state="visible" r:id="rId6"/>
    <sheet name="5.7 Drift y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C570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3" customWidth="1" min="7" max="7"/>
    <col width="13" customWidth="1" min="8" max="8"/>
    <col width="11" customWidth="1" min="9" max="9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Quang lenh (m)</t>
        </is>
      </c>
      <c r="B2" s="2" t="inlineStr">
        <is>
          <t>Lan1</t>
        </is>
      </c>
      <c r="C2" s="2" t="inlineStr">
        <is>
          <t>Lan2</t>
        </is>
      </c>
      <c r="D2" s="2" t="inlineStr">
        <is>
          <t>Lan3</t>
        </is>
      </c>
      <c r="E2" s="2" t="inlineStr">
        <is>
          <t>Lan4</t>
        </is>
      </c>
      <c r="F2" s="2" t="inlineStr">
        <is>
          <t>Lan5</t>
        </is>
      </c>
      <c r="G2" s="2" t="inlineStr">
        <is>
          <t>Do thuc TB (m)</t>
        </is>
      </c>
      <c r="H2" s="2" t="inlineStr">
        <is>
          <t>Sai so TB (cm)</t>
        </is>
      </c>
      <c r="I2" s="2" t="inlineStr">
        <is>
          <t>Sai so (%)</t>
        </is>
      </c>
    </row>
    <row r="3">
      <c r="A3" s="3" t="n">
        <v>0.5</v>
      </c>
      <c r="B3" s="3" t="n">
        <v>0.48</v>
      </c>
      <c r="C3" s="3" t="n">
        <v>0.49</v>
      </c>
      <c r="D3" s="3" t="n">
        <v>0.47</v>
      </c>
      <c r="E3" s="3" t="n">
        <v>0.48</v>
      </c>
      <c r="F3" s="3" t="n">
        <v>0.48</v>
      </c>
      <c r="G3" s="4">
        <f>AVERAGE(B3:F3)</f>
        <v/>
      </c>
      <c r="H3" s="4">
        <f>ABS(A3-G3)*100</f>
        <v/>
      </c>
      <c r="I3" s="4">
        <f>ABS(A3-G3)/A3*100</f>
        <v/>
      </c>
    </row>
    <row r="4">
      <c r="A4" s="3" t="n">
        <v>1</v>
      </c>
      <c r="B4" s="3" t="n">
        <v>0.97</v>
      </c>
      <c r="C4" s="3" t="n">
        <v>0.96</v>
      </c>
      <c r="D4" s="3" t="n">
        <v>0.98</v>
      </c>
      <c r="E4" s="3" t="n">
        <v>0.97</v>
      </c>
      <c r="F4" s="3" t="n">
        <v>0.97</v>
      </c>
      <c r="G4" s="4">
        <f>AVERAGE(B4:F4)</f>
        <v/>
      </c>
      <c r="H4" s="4">
        <f>ABS(A4-G4)*100</f>
        <v/>
      </c>
      <c r="I4" s="4">
        <f>ABS(A4-G4)/A4*100</f>
        <v/>
      </c>
    </row>
    <row r="5">
      <c r="A5" s="3" t="n">
        <v>2</v>
      </c>
      <c r="B5" s="3" t="n">
        <v>1.95</v>
      </c>
      <c r="C5" s="3" t="n">
        <v>1.94</v>
      </c>
      <c r="D5" s="3" t="n">
        <v>1.96</v>
      </c>
      <c r="E5" s="3" t="n">
        <v>1.95</v>
      </c>
      <c r="F5" s="3" t="n">
        <v>1.95</v>
      </c>
      <c r="G5" s="4">
        <f>AVERAGE(B5:F5)</f>
        <v/>
      </c>
      <c r="H5" s="4">
        <f>ABS(A5-G5)*100</f>
        <v/>
      </c>
      <c r="I5" s="4">
        <f>ABS(A5-G5)/A5*100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Goc lenh (do)</t>
        </is>
      </c>
      <c r="B2" s="2" t="inlineStr">
        <is>
          <t>Lan1</t>
        </is>
      </c>
      <c r="C2" s="2" t="inlineStr">
        <is>
          <t>Lan2</t>
        </is>
      </c>
      <c r="D2" s="2" t="inlineStr">
        <is>
          <t>Lan3</t>
        </is>
      </c>
      <c r="E2" s="2" t="inlineStr">
        <is>
          <t>Lan4</t>
        </is>
      </c>
      <c r="F2" s="2" t="inlineStr">
        <is>
          <t>Lan5</t>
        </is>
      </c>
      <c r="G2" s="2" t="inlineStr">
        <is>
          <t>Goc do TB (do)</t>
        </is>
      </c>
      <c r="H2" s="2" t="inlineStr">
        <is>
          <t>Sai so TB (do)</t>
        </is>
      </c>
      <c r="I2" s="2" t="inlineStr">
        <is>
          <t>Do lech chuan (do)</t>
        </is>
      </c>
    </row>
    <row r="3">
      <c r="A3" s="3" t="n">
        <v>45</v>
      </c>
      <c r="B3" s="3" t="n">
        <v>44.5</v>
      </c>
      <c r="C3" s="3" t="n">
        <v>43.8</v>
      </c>
      <c r="D3" s="3" t="n">
        <v>44</v>
      </c>
      <c r="E3" s="3" t="n">
        <v>45</v>
      </c>
      <c r="F3" s="3" t="n">
        <v>43.6</v>
      </c>
      <c r="G3" s="4">
        <f>AVERAGE(B3:F3)</f>
        <v/>
      </c>
      <c r="H3" s="4">
        <f>ABS(A3-G3)</f>
        <v/>
      </c>
      <c r="I3" s="4">
        <f>STDEV.S(B3:F3)</f>
        <v/>
      </c>
    </row>
    <row r="4">
      <c r="A4" s="3" t="n">
        <v>90</v>
      </c>
      <c r="B4" s="3" t="n">
        <v>88.5</v>
      </c>
      <c r="C4" s="3" t="n">
        <v>89.2</v>
      </c>
      <c r="D4" s="3" t="n">
        <v>87.59999999999999</v>
      </c>
      <c r="E4" s="3" t="n">
        <v>88.90000000000001</v>
      </c>
      <c r="F4" s="3" t="n">
        <v>88.8</v>
      </c>
      <c r="G4" s="4">
        <f>AVERAGE(B4:F4)</f>
        <v/>
      </c>
      <c r="H4" s="4">
        <f>ABS(A4-G4)</f>
        <v/>
      </c>
      <c r="I4" s="4">
        <f>STDEV.S(B4:F4)</f>
        <v/>
      </c>
    </row>
    <row r="5">
      <c r="A5" s="3" t="n">
        <v>180</v>
      </c>
      <c r="B5" s="3" t="n">
        <v>177.5</v>
      </c>
      <c r="C5" s="3" t="n">
        <v>176</v>
      </c>
      <c r="D5" s="3" t="n">
        <v>178.2</v>
      </c>
      <c r="E5" s="3" t="n">
        <v>175.5</v>
      </c>
      <c r="F5" s="3" t="n">
        <v>177</v>
      </c>
      <c r="G5" s="4">
        <f>AVERAGE(B5:F5)</f>
        <v/>
      </c>
      <c r="H5" s="4">
        <f>ABS(A5-G5)</f>
        <v/>
      </c>
      <c r="I5" s="4">
        <f>STDEV.S(B5:F5)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Lan do</t>
        </is>
      </c>
      <c r="B2" s="2" t="inlineStr">
        <is>
          <t>Do lech ngang tai 3m (cm)</t>
        </is>
      </c>
      <c r="C2" s="2" t="inlineStr">
        <is>
          <t>Goc lech tuong duong (do)</t>
        </is>
      </c>
    </row>
    <row r="3">
      <c r="A3" s="3" t="n">
        <v>1</v>
      </c>
      <c r="B3" s="3" t="n">
        <v>6</v>
      </c>
      <c r="C3" s="4">
        <f>DEGREES(ATAN(B3/300))</f>
        <v/>
      </c>
    </row>
    <row r="4">
      <c r="A4" s="3" t="n">
        <v>2</v>
      </c>
      <c r="B4" s="3" t="n">
        <v>9</v>
      </c>
      <c r="C4" s="4">
        <f>DEGREES(ATAN(B4/300))</f>
        <v/>
      </c>
    </row>
    <row r="5">
      <c r="A5" s="3" t="n">
        <v>3</v>
      </c>
      <c r="B5" s="3" t="n">
        <v>5</v>
      </c>
      <c r="C5" s="4">
        <f>DEGREES(ATAN(B5/300))</f>
        <v/>
      </c>
    </row>
    <row r="6">
      <c r="A6" s="5" t="inlineStr">
        <is>
          <t>Trung binh</t>
        </is>
      </c>
      <c r="B6" s="4">
        <f>AVERAGE(B3:B5)</f>
        <v/>
      </c>
      <c r="C6" s="4">
        <f>AVERAGE(C3:C5)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22" customWidth="1" min="4" max="4"/>
    <col width="20" customWidth="1" min="5" max="5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Lo trinh</t>
        </is>
      </c>
      <c r="B2" s="2" t="inlineStr">
        <is>
          <t>So node</t>
        </is>
      </c>
      <c r="C2" s="2" t="inlineStr">
        <is>
          <t>Tong quang (m)</t>
        </is>
      </c>
      <c r="D2" s="2" t="inlineStr">
        <is>
          <t>Sai so vi tri cuoi (cm)</t>
        </is>
      </c>
      <c r="E2" s="2" t="inlineStr">
        <is>
          <t>Sai so goc cuoi (do)</t>
        </is>
      </c>
    </row>
    <row r="3">
      <c r="A3" s="3" t="inlineStr">
        <is>
          <t>Duong thang 4 node</t>
        </is>
      </c>
      <c r="B3" s="3" t="n">
        <v>4</v>
      </c>
      <c r="C3" s="3" t="n">
        <v>2</v>
      </c>
      <c r="D3" s="3" t="n">
        <v>7</v>
      </c>
      <c r="E3" s="3" t="n">
        <v>2.5</v>
      </c>
    </row>
    <row r="4">
      <c r="A4" s="3" t="inlineStr">
        <is>
          <t>Hinh vuong canh 0.5m</t>
        </is>
      </c>
      <c r="B4" s="3" t="n">
        <v>4</v>
      </c>
      <c r="C4" s="3" t="n">
        <v>2</v>
      </c>
      <c r="D4" s="3" t="n">
        <v>12</v>
      </c>
      <c r="E4" s="3" t="n">
        <v>4.8</v>
      </c>
    </row>
    <row r="5">
      <c r="A5" s="3" t="inlineStr">
        <is>
          <t>Chu L</t>
        </is>
      </c>
      <c r="B5" s="3" t="n">
        <v>3</v>
      </c>
      <c r="C5" s="3" t="n">
        <v>1.5</v>
      </c>
      <c r="D5" s="3" t="n">
        <v>9</v>
      </c>
      <c r="E5" s="3" t="n">
        <v>3.6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Khoang cach thuc (cm)</t>
        </is>
      </c>
      <c r="B2" s="2" t="inlineStr">
        <is>
          <t>Do giua (cm)</t>
        </is>
      </c>
      <c r="C2" s="2" t="inlineStr">
        <is>
          <t>Do trai +90 (cm)</t>
        </is>
      </c>
      <c r="D2" s="2" t="inlineStr">
        <is>
          <t>Do phai -90 (cm)</t>
        </is>
      </c>
      <c r="E2" s="2" t="inlineStr">
        <is>
          <t>Sai so TB (cm)</t>
        </is>
      </c>
    </row>
    <row r="3">
      <c r="A3" s="3" t="n">
        <v>10</v>
      </c>
      <c r="B3" s="3" t="n">
        <v>10.2</v>
      </c>
      <c r="C3" s="3" t="n">
        <v>10.4</v>
      </c>
      <c r="D3" s="3" t="n">
        <v>9.800000000000001</v>
      </c>
      <c r="E3" s="4">
        <f>(ABS(B3-A3)+ABS(C3-A3)+ABS(D3-A3))/3</f>
        <v/>
      </c>
    </row>
    <row r="4">
      <c r="A4" s="3" t="n">
        <v>20</v>
      </c>
      <c r="B4" s="3" t="n">
        <v>20.3</v>
      </c>
      <c r="C4" s="3" t="n">
        <v>19.6</v>
      </c>
      <c r="D4" s="3" t="n">
        <v>20.5</v>
      </c>
      <c r="E4" s="4">
        <f>(ABS(B4-A4)+ABS(C4-A4)+ABS(D4-A4))/3</f>
        <v/>
      </c>
    </row>
    <row r="5">
      <c r="A5" s="3" t="n">
        <v>30</v>
      </c>
      <c r="B5" s="3" t="n">
        <v>29.7</v>
      </c>
      <c r="C5" s="3" t="n">
        <v>30.6</v>
      </c>
      <c r="D5" s="3" t="n">
        <v>29.4</v>
      </c>
      <c r="E5" s="4">
        <f>(ABS(B5-A5)+ABS(C5-A5)+ABS(D5-A5))/3</f>
        <v/>
      </c>
    </row>
    <row r="6">
      <c r="A6" s="3" t="n">
        <v>50</v>
      </c>
      <c r="B6" s="3" t="n">
        <v>50.8</v>
      </c>
      <c r="C6" s="3" t="n">
        <v>49.1</v>
      </c>
      <c r="D6" s="3" t="n">
        <v>51.2</v>
      </c>
      <c r="E6" s="4">
        <f>(ABS(B6-A6)+ABS(C6-A6)+ABS(D6-A6))/3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4" customWidth="1" min="4" max="4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Luot thu</t>
        </is>
      </c>
      <c r="B2" s="2" t="inlineStr">
        <is>
          <t>Khoang cach dung (cm)</t>
        </is>
      </c>
      <c r="C2" s="2" t="inlineStr">
        <is>
          <t>Ne thanh cong (Co/Khong)</t>
        </is>
      </c>
      <c r="D2" s="2" t="inlineStr">
        <is>
          <t>Ghi chu</t>
        </is>
      </c>
    </row>
    <row r="3">
      <c r="A3" s="3" t="n">
        <v>1</v>
      </c>
      <c r="B3" s="3" t="n">
        <v>28.5</v>
      </c>
      <c r="C3" s="3" t="inlineStr">
        <is>
          <t>Co</t>
        </is>
      </c>
      <c r="D3" s="3" t="inlineStr"/>
    </row>
    <row r="4">
      <c r="A4" s="3" t="n">
        <v>2</v>
      </c>
      <c r="B4" s="3" t="n">
        <v>29.2</v>
      </c>
      <c r="C4" s="3" t="inlineStr">
        <is>
          <t>Co</t>
        </is>
      </c>
      <c r="D4" s="3" t="inlineStr"/>
    </row>
    <row r="5">
      <c r="A5" s="3" t="n">
        <v>3</v>
      </c>
      <c r="B5" s="3" t="n">
        <v>27.8</v>
      </c>
      <c r="C5" s="3" t="inlineStr">
        <is>
          <t>Co</t>
        </is>
      </c>
      <c r="D5" s="3" t="inlineStr"/>
    </row>
    <row r="6">
      <c r="A6" s="3" t="n">
        <v>4</v>
      </c>
      <c r="B6" s="3" t="n">
        <v>26.5</v>
      </c>
      <c r="C6" s="3" t="inlineStr">
        <is>
          <t>Khong</t>
        </is>
      </c>
      <c r="D6" s="3" t="inlineStr">
        <is>
          <t>Vat mong (chan ghe), phat hien tre</t>
        </is>
      </c>
    </row>
    <row r="7">
      <c r="A7" s="3" t="n">
        <v>5</v>
      </c>
      <c r="B7" s="3" t="n">
        <v>29</v>
      </c>
      <c r="C7" s="3" t="inlineStr">
        <is>
          <t>Co</t>
        </is>
      </c>
      <c r="D7" s="6" t="inlineStr"/>
    </row>
    <row r="8">
      <c r="A8" s="5" t="inlineStr">
        <is>
          <t>Ti le thanh cong</t>
        </is>
      </c>
      <c r="B8" s="4">
        <f>COUNTIF(C3:C7,"Co")&amp;"/"&amp;COUNTA(C3:C7)&amp;" ("&amp;ROUND(COUNTIF(C3:C7,"Co")/COUNTA(C3:C7)*100,0)&amp;"%)"</f>
        <v/>
      </c>
      <c r="C8" s="3" t="n"/>
      <c r="D8" s="3" t="n"/>
    </row>
    <row r="9">
      <c r="A9" s="5" t="inlineStr">
        <is>
          <t>Kc dung TB (cm)</t>
        </is>
      </c>
      <c r="B9" s="4">
        <f>AVERAGE(B3:B7)</f>
        <v/>
      </c>
      <c r="C9" s="3" t="n"/>
      <c r="D9" s="3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8" customHeight="1">
      <c r="A1" s="1" t="inlineStr">
        <is>
          <t>SO LIEU MAU - THAY BANG DO THUC TE TRUOC KHI NOP. O xanh la = cong thuc tu tinh, dung sua.</t>
        </is>
      </c>
    </row>
    <row r="2">
      <c r="A2" s="2" t="inlineStr">
        <is>
          <t>Thoi gian dung yen (s)</t>
        </is>
      </c>
      <c r="B2" s="2" t="inlineStr">
        <is>
          <t>Do troi yaw (do)</t>
        </is>
      </c>
    </row>
    <row r="3">
      <c r="A3" s="3" t="n">
        <v>30</v>
      </c>
      <c r="B3" s="3" t="n">
        <v>0.3</v>
      </c>
    </row>
    <row r="4">
      <c r="A4" s="3" t="n">
        <v>60</v>
      </c>
      <c r="B4" s="3" t="n">
        <v>0.6</v>
      </c>
    </row>
    <row r="5">
      <c r="A5" s="3" t="n">
        <v>300</v>
      </c>
      <c r="B5" s="3" t="n">
        <v>2.1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2026-06-22T14:22:12Z</dcterms:created>
  <dcterms:modified xsi:type="dcterms:W3CDTF">2026-06-22T14:22:12Z</dcterms:modified>
</cp:coreProperties>
</file>