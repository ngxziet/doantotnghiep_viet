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ocuments\doantotnghiep_V1\doantotnghiep_viet\docs\"/>
    </mc:Choice>
  </mc:AlternateContent>
  <xr:revisionPtr revIDLastSave="0" documentId="13_ncr:1_{9003C95A-26DB-4B22-BCD8-8B6093456D86}" xr6:coauthVersionLast="47" xr6:coauthVersionMax="47" xr10:uidLastSave="{00000000-0000-0000-0000-000000000000}"/>
  <bookViews>
    <workbookView xWindow="2340" yWindow="2340" windowWidth="21600" windowHeight="11295" activeTab="2" xr2:uid="{00000000-000D-0000-FFFF-FFFF00000000}"/>
  </bookViews>
  <sheets>
    <sheet name="5.1 Quang duong" sheetId="1" r:id="rId1"/>
    <sheet name="5.2 Xoay goc" sheetId="2" r:id="rId2"/>
    <sheet name="5.3 Giu huong" sheetId="3" r:id="rId3"/>
    <sheet name="5.4 Node" sheetId="4" r:id="rId4"/>
    <sheet name="5.5 HC-SR04" sheetId="5" r:id="rId5"/>
    <sheet name="5.6 Ne vat can" sheetId="6" r:id="rId6"/>
    <sheet name="5.7 Drift yaw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6" l="1"/>
  <c r="B13" i="6"/>
  <c r="E6" i="5"/>
  <c r="E5" i="5"/>
  <c r="E4" i="5"/>
  <c r="E3" i="5"/>
  <c r="B13" i="3"/>
  <c r="C7" i="3"/>
  <c r="C6" i="3"/>
  <c r="C5" i="3"/>
  <c r="C4" i="3"/>
  <c r="C3" i="3"/>
  <c r="N5" i="2"/>
  <c r="L5" i="2"/>
  <c r="M5" i="2" s="1"/>
  <c r="N4" i="2"/>
  <c r="M4" i="2"/>
  <c r="L4" i="2"/>
  <c r="N3" i="2"/>
  <c r="L3" i="2"/>
  <c r="M3" i="2" s="1"/>
  <c r="L5" i="1"/>
  <c r="N5" i="1" s="1"/>
  <c r="L4" i="1"/>
  <c r="N4" i="1" s="1"/>
  <c r="N3" i="1"/>
  <c r="M3" i="1"/>
  <c r="L3" i="1"/>
  <c r="C13" i="3" l="1"/>
  <c r="M4" i="1"/>
  <c r="M5" i="1"/>
</calcChain>
</file>

<file path=xl/sharedStrings.xml><?xml version="1.0" encoding="utf-8"?>
<sst xmlns="http://schemas.openxmlformats.org/spreadsheetml/2006/main" count="72" uniqueCount="47">
  <si>
    <t>SO LIEU MAU - THAY BANG DO THUC TE TRUOC KHI NOP. Moi phep do 10 lan (Lan1..Lan10); o xanh la = cong thuc tu tinh, dung sua.</t>
  </si>
  <si>
    <t>Quang duong lenh (m)</t>
  </si>
  <si>
    <t>Lan1</t>
  </si>
  <si>
    <t>Lan2</t>
  </si>
  <si>
    <t>Lan3</t>
  </si>
  <si>
    <t>Lan4</t>
  </si>
  <si>
    <t>Lan5</t>
  </si>
  <si>
    <t>Lan6</t>
  </si>
  <si>
    <t>Lan7</t>
  </si>
  <si>
    <t>Lan8</t>
  </si>
  <si>
    <t>Lan9</t>
  </si>
  <si>
    <t>Lan10</t>
  </si>
  <si>
    <t>Do thuc TB (m)</t>
  </si>
  <si>
    <t>Sai so TB (cm)</t>
  </si>
  <si>
    <t>Sai so (%)</t>
  </si>
  <si>
    <t>Goc lenh (do)</t>
  </si>
  <si>
    <t>Goc do TB (do)</t>
  </si>
  <si>
    <t>Sai so TB (do)</t>
  </si>
  <si>
    <t>Do lech chuan (do)</t>
  </si>
  <si>
    <t>Lan do</t>
  </si>
  <si>
    <t>Do lech ngang tai 3m (cm)</t>
  </si>
  <si>
    <t>Goc lech tuong duong (do)</t>
  </si>
  <si>
    <t>Trung binh</t>
  </si>
  <si>
    <t>Lo trinh</t>
  </si>
  <si>
    <t>So node</t>
  </si>
  <si>
    <t>Tong quang (m)</t>
  </si>
  <si>
    <t>Sai so vi tri cuoi (cm)</t>
  </si>
  <si>
    <t>Sai so goc cuoi (do)</t>
  </si>
  <si>
    <t>Duong thang 4 node</t>
  </si>
  <si>
    <t>Hinh vuong canh 0.5m</t>
  </si>
  <si>
    <t>Chu L</t>
  </si>
  <si>
    <t>Khoang cach thuc (cm)</t>
  </si>
  <si>
    <t>Do giua (cm)</t>
  </si>
  <si>
    <t>Do trai +90 (cm)</t>
  </si>
  <si>
    <t>Do phai -90 (cm)</t>
  </si>
  <si>
    <t>Luot thu</t>
  </si>
  <si>
    <t>Khoang cach dung (cm)</t>
  </si>
  <si>
    <t>Ne thanh cong (Co/Khong)</t>
  </si>
  <si>
    <t>Ghi chu</t>
  </si>
  <si>
    <t>Co</t>
  </si>
  <si>
    <t>Khong</t>
  </si>
  <si>
    <t>Vat mong (chan ghe), phat hien tre</t>
  </si>
  <si>
    <t>Vat cham hap thu song, do gan</t>
  </si>
  <si>
    <t>Ti le thanh cong</t>
  </si>
  <si>
    <t>Kc dung TB (cm)</t>
  </si>
  <si>
    <t>Thoi gian dung yen (s)</t>
  </si>
  <si>
    <t>Do troi yaw (do)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</si>
</sst>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9C5700"/>
      <name val="Calibri"/>
    </font>
    <font>
      <b/>
      <sz val="11"/>
      <color rgb="FFFFFFFF"/>
      <name val="Calibri"/>
    </font>
    <font>
      <b/>
      <sz val="11"/>
      <name val="Calibri"/>
    </font>
    <font>
      <sz val="13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"/>
  <sheetViews>
    <sheetView workbookViewId="0">
      <selection sqref="A1:N1"/>
    </sheetView>
  </sheetViews>
  <sheetFormatPr defaultRowHeight="15" x14ac:dyDescent="0.25"/>
  <cols>
    <col min="1" max="1" width="18" customWidth="1"/>
    <col min="2" max="11" width="7" customWidth="1"/>
    <col min="12" max="13" width="13" customWidth="1"/>
    <col min="14" max="14" width="11" customWidth="1"/>
  </cols>
  <sheetData>
    <row r="1" spans="1:14" ht="27.95" customHeight="1" x14ac:dyDescent="0.2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5">
      <c r="A3" s="2">
        <v>0.5</v>
      </c>
      <c r="B3" s="2">
        <v>0.5</v>
      </c>
      <c r="C3" s="2">
        <v>0.48</v>
      </c>
      <c r="D3" s="2">
        <v>0.49</v>
      </c>
      <c r="E3" s="2">
        <v>0.49</v>
      </c>
      <c r="F3" s="2">
        <v>0.5</v>
      </c>
      <c r="G3" s="2">
        <v>0.5</v>
      </c>
      <c r="H3" s="2">
        <v>0.5</v>
      </c>
      <c r="I3" s="2">
        <v>0.49</v>
      </c>
      <c r="J3" s="2">
        <v>0.49</v>
      </c>
      <c r="K3" s="2">
        <v>0.48</v>
      </c>
      <c r="L3" s="3">
        <f>AVERAGE(B3:K3)</f>
        <v>0.49199999999999999</v>
      </c>
      <c r="M3" s="3">
        <f>ABS(A3-L3)*100</f>
        <v>0.80000000000000071</v>
      </c>
      <c r="N3" s="3">
        <f>ABS(A3-L3)/A3*100</f>
        <v>1.6000000000000014</v>
      </c>
    </row>
    <row r="4" spans="1:14" x14ac:dyDescent="0.25">
      <c r="A4" s="2">
        <v>1</v>
      </c>
      <c r="B4" s="2">
        <v>0.98</v>
      </c>
      <c r="C4" s="2">
        <v>0.99</v>
      </c>
      <c r="D4" s="2">
        <v>0.97</v>
      </c>
      <c r="E4" s="2">
        <v>0.98</v>
      </c>
      <c r="F4" s="2">
        <v>0.99</v>
      </c>
      <c r="G4" s="2">
        <v>0.99</v>
      </c>
      <c r="H4" s="2">
        <v>0.98</v>
      </c>
      <c r="I4" s="2">
        <v>0.99</v>
      </c>
      <c r="J4" s="2">
        <v>0.99</v>
      </c>
      <c r="K4" s="2">
        <v>0.97</v>
      </c>
      <c r="L4" s="3">
        <f>AVERAGE(B4:K4)</f>
        <v>0.98300000000000021</v>
      </c>
      <c r="M4" s="3">
        <f>ABS(A4-L4)*100</f>
        <v>1.6999999999999793</v>
      </c>
      <c r="N4" s="3">
        <f>ABS(A4-L4)/A4*100</f>
        <v>1.6999999999999793</v>
      </c>
    </row>
    <row r="5" spans="1:14" x14ac:dyDescent="0.25">
      <c r="A5" s="2">
        <v>2</v>
      </c>
      <c r="B5" s="2">
        <v>1.98</v>
      </c>
      <c r="C5" s="2">
        <v>1.97</v>
      </c>
      <c r="D5" s="2">
        <v>1.96</v>
      </c>
      <c r="E5" s="2">
        <v>1.95</v>
      </c>
      <c r="F5" s="2">
        <v>1.98</v>
      </c>
      <c r="G5" s="2">
        <v>1.96</v>
      </c>
      <c r="H5" s="2">
        <v>1.95</v>
      </c>
      <c r="I5" s="2">
        <v>1.95</v>
      </c>
      <c r="J5" s="2">
        <v>1.98</v>
      </c>
      <c r="K5" s="2">
        <v>1.97</v>
      </c>
      <c r="L5" s="3">
        <f>AVERAGE(B5:K5)</f>
        <v>1.9649999999999999</v>
      </c>
      <c r="M5" s="3">
        <f>ABS(A5-L5)*100</f>
        <v>3.5000000000000142</v>
      </c>
      <c r="N5" s="3">
        <f>ABS(A5-L5)/A5*100</f>
        <v>1.7500000000000071</v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"/>
  <sheetViews>
    <sheetView workbookViewId="0"/>
  </sheetViews>
  <sheetFormatPr defaultRowHeight="15" x14ac:dyDescent="0.25"/>
  <cols>
    <col min="1" max="1" width="13" customWidth="1"/>
    <col min="2" max="11" width="7" customWidth="1"/>
    <col min="12" max="13" width="14" customWidth="1"/>
    <col min="14" max="14" width="16" customWidth="1"/>
  </cols>
  <sheetData>
    <row r="1" spans="1:14" ht="27.95" customHeight="1" x14ac:dyDescent="0.2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30" x14ac:dyDescent="0.25">
      <c r="A2" s="1" t="s">
        <v>15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16</v>
      </c>
      <c r="M2" s="1" t="s">
        <v>17</v>
      </c>
      <c r="N2" s="1" t="s">
        <v>18</v>
      </c>
    </row>
    <row r="3" spans="1:14" x14ac:dyDescent="0.25">
      <c r="A3" s="2">
        <v>45</v>
      </c>
      <c r="B3" s="2">
        <v>44.7</v>
      </c>
      <c r="C3" s="2">
        <v>44.6</v>
      </c>
      <c r="D3" s="2">
        <v>44.4</v>
      </c>
      <c r="E3" s="2">
        <v>45</v>
      </c>
      <c r="F3" s="2">
        <v>44.1</v>
      </c>
      <c r="G3" s="2">
        <v>44.4</v>
      </c>
      <c r="H3" s="2">
        <v>44.8</v>
      </c>
      <c r="I3" s="2">
        <v>44.5</v>
      </c>
      <c r="J3" s="2">
        <v>44.8</v>
      </c>
      <c r="K3" s="2">
        <v>44.4</v>
      </c>
      <c r="L3" s="3">
        <f>AVERAGE(B3:K3)</f>
        <v>44.57</v>
      </c>
      <c r="M3" s="3">
        <f>ABS(A3-L3)</f>
        <v>0.42999999999999972</v>
      </c>
      <c r="N3" s="3" t="e">
        <f ca="1">_xludf.STDEV.S(B3:K3)</f>
        <v>#NAME?</v>
      </c>
    </row>
    <row r="4" spans="1:14" x14ac:dyDescent="0.25">
      <c r="A4" s="2">
        <v>90</v>
      </c>
      <c r="B4" s="2">
        <v>89</v>
      </c>
      <c r="C4" s="2">
        <v>87.8</v>
      </c>
      <c r="D4" s="2">
        <v>88.1</v>
      </c>
      <c r="E4" s="2">
        <v>88.2</v>
      </c>
      <c r="F4" s="2">
        <v>87.8</v>
      </c>
      <c r="G4" s="2">
        <v>88.1</v>
      </c>
      <c r="H4" s="2">
        <v>87.9</v>
      </c>
      <c r="I4" s="2">
        <v>88.2</v>
      </c>
      <c r="J4" s="2">
        <v>88.8</v>
      </c>
      <c r="K4" s="2">
        <v>88.4</v>
      </c>
      <c r="L4" s="3">
        <f>AVERAGE(B4:K4)</f>
        <v>88.22999999999999</v>
      </c>
      <c r="M4" s="3">
        <f>ABS(A4-L4)</f>
        <v>1.7700000000000102</v>
      </c>
      <c r="N4" s="3" t="e">
        <f ca="1">_xludf.STDEV.S(B4:K4)</f>
        <v>#NAME?</v>
      </c>
    </row>
    <row r="5" spans="1:14" x14ac:dyDescent="0.25">
      <c r="A5" s="2">
        <v>180</v>
      </c>
      <c r="B5" s="2">
        <v>177.1</v>
      </c>
      <c r="C5" s="2">
        <v>176.6</v>
      </c>
      <c r="D5" s="2">
        <v>176.8</v>
      </c>
      <c r="E5" s="2">
        <v>178.5</v>
      </c>
      <c r="F5" s="2">
        <v>177.8</v>
      </c>
      <c r="G5" s="2">
        <v>177.7</v>
      </c>
      <c r="H5" s="2">
        <v>176.5</v>
      </c>
      <c r="I5" s="2">
        <v>178</v>
      </c>
      <c r="J5" s="2">
        <v>176.5</v>
      </c>
      <c r="K5" s="2">
        <v>177.1</v>
      </c>
      <c r="L5" s="3">
        <f>AVERAGE(B5:K5)</f>
        <v>177.26</v>
      </c>
      <c r="M5" s="3">
        <f>ABS(A5-L5)</f>
        <v>2.7400000000000091</v>
      </c>
      <c r="N5" s="3" t="e">
        <f ca="1">_xludf.STDEV.S(B5:K5)</f>
        <v>#NAME?</v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tabSelected="1" workbookViewId="0">
      <selection activeCell="B8" sqref="B8:C12"/>
    </sheetView>
  </sheetViews>
  <sheetFormatPr defaultRowHeight="15" x14ac:dyDescent="0.25"/>
  <cols>
    <col min="1" max="1" width="12" customWidth="1"/>
    <col min="2" max="3" width="26" customWidth="1"/>
  </cols>
  <sheetData>
    <row r="1" spans="1:3" ht="27.95" customHeight="1" x14ac:dyDescent="0.25">
      <c r="A1" s="6" t="s">
        <v>0</v>
      </c>
      <c r="B1" s="7"/>
      <c r="C1" s="7"/>
    </row>
    <row r="2" spans="1:3" ht="15.75" thickBot="1" x14ac:dyDescent="0.3">
      <c r="A2" s="1" t="s">
        <v>19</v>
      </c>
      <c r="B2" s="1" t="s">
        <v>20</v>
      </c>
      <c r="C2" s="1" t="s">
        <v>21</v>
      </c>
    </row>
    <row r="3" spans="1:3" ht="17.25" thickBot="1" x14ac:dyDescent="0.3">
      <c r="A3" s="2">
        <v>1</v>
      </c>
      <c r="B3" s="8">
        <v>22.1</v>
      </c>
      <c r="C3" s="3">
        <f t="shared" ref="C3:C12" si="0">DEGREES(ATAN(B3/300))</f>
        <v>4.2131787603999902</v>
      </c>
    </row>
    <row r="4" spans="1:3" ht="17.25" thickBot="1" x14ac:dyDescent="0.3">
      <c r="A4" s="2">
        <v>2</v>
      </c>
      <c r="B4" s="8">
        <v>20.8</v>
      </c>
      <c r="C4" s="3">
        <f t="shared" si="0"/>
        <v>3.9661602482390981</v>
      </c>
    </row>
    <row r="5" spans="1:3" ht="17.25" thickBot="1" x14ac:dyDescent="0.3">
      <c r="A5" s="2">
        <v>3</v>
      </c>
      <c r="B5" s="8">
        <v>21.5</v>
      </c>
      <c r="C5" s="3">
        <f t="shared" si="0"/>
        <v>4.099189154353982</v>
      </c>
    </row>
    <row r="6" spans="1:3" ht="17.25" thickBot="1" x14ac:dyDescent="0.3">
      <c r="A6" s="2">
        <v>4</v>
      </c>
      <c r="B6" s="8">
        <v>22.3</v>
      </c>
      <c r="C6" s="3">
        <f t="shared" si="0"/>
        <v>4.2511679167455423</v>
      </c>
    </row>
    <row r="7" spans="1:3" ht="17.25" thickBot="1" x14ac:dyDescent="0.3">
      <c r="A7" s="2">
        <v>5</v>
      </c>
      <c r="B7" s="8">
        <v>22.8</v>
      </c>
      <c r="C7" s="3">
        <f t="shared" si="0"/>
        <v>4.3461243546024297</v>
      </c>
    </row>
    <row r="8" spans="1:3" x14ac:dyDescent="0.25">
      <c r="A8" s="2">
        <v>6</v>
      </c>
      <c r="B8" s="2"/>
      <c r="C8" s="3"/>
    </row>
    <row r="9" spans="1:3" x14ac:dyDescent="0.25">
      <c r="A9" s="2">
        <v>7</v>
      </c>
      <c r="B9" s="2"/>
      <c r="C9" s="3"/>
    </row>
    <row r="10" spans="1:3" x14ac:dyDescent="0.25">
      <c r="A10" s="2">
        <v>8</v>
      </c>
      <c r="B10" s="2"/>
      <c r="C10" s="3"/>
    </row>
    <row r="11" spans="1:3" x14ac:dyDescent="0.25">
      <c r="A11" s="2">
        <v>9</v>
      </c>
      <c r="B11" s="2"/>
      <c r="C11" s="3"/>
    </row>
    <row r="12" spans="1:3" x14ac:dyDescent="0.25">
      <c r="A12" s="2">
        <v>10</v>
      </c>
      <c r="B12" s="2"/>
      <c r="C12" s="3"/>
    </row>
    <row r="13" spans="1:3" x14ac:dyDescent="0.25">
      <c r="A13" s="4" t="s">
        <v>22</v>
      </c>
      <c r="B13" s="3">
        <f>AVERAGE(B3:B12)</f>
        <v>21.9</v>
      </c>
      <c r="C13" s="3">
        <f>AVERAGE(C3:C12)</f>
        <v>4.1751640868682092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/>
  </sheetViews>
  <sheetFormatPr defaultRowHeight="15" x14ac:dyDescent="0.25"/>
  <cols>
    <col min="1" max="1" width="22" customWidth="1"/>
    <col min="2" max="2" width="9" customWidth="1"/>
    <col min="3" max="3" width="14" customWidth="1"/>
    <col min="4" max="4" width="22" customWidth="1"/>
    <col min="5" max="5" width="20" customWidth="1"/>
  </cols>
  <sheetData>
    <row r="1" spans="1:5" ht="27.95" customHeight="1" x14ac:dyDescent="0.25">
      <c r="A1" s="6" t="s">
        <v>0</v>
      </c>
      <c r="B1" s="7"/>
      <c r="C1" s="7"/>
      <c r="D1" s="7"/>
      <c r="E1" s="7"/>
    </row>
    <row r="2" spans="1:5" ht="30" x14ac:dyDescent="0.2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5">
      <c r="A3" s="2" t="s">
        <v>28</v>
      </c>
      <c r="B3" s="2">
        <v>4</v>
      </c>
      <c r="C3" s="2">
        <v>2</v>
      </c>
      <c r="D3" s="2">
        <v>7</v>
      </c>
      <c r="E3" s="2">
        <v>2.5</v>
      </c>
    </row>
    <row r="4" spans="1:5" x14ac:dyDescent="0.25">
      <c r="A4" s="2" t="s">
        <v>29</v>
      </c>
      <c r="B4" s="2">
        <v>4</v>
      </c>
      <c r="C4" s="2">
        <v>2</v>
      </c>
      <c r="D4" s="2">
        <v>12</v>
      </c>
      <c r="E4" s="2">
        <v>4.8</v>
      </c>
    </row>
    <row r="5" spans="1:5" x14ac:dyDescent="0.25">
      <c r="A5" s="2" t="s">
        <v>30</v>
      </c>
      <c r="B5" s="2">
        <v>3</v>
      </c>
      <c r="C5" s="2">
        <v>1.5</v>
      </c>
      <c r="D5" s="2">
        <v>9</v>
      </c>
      <c r="E5" s="2">
        <v>3.6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5" x14ac:dyDescent="0.25"/>
  <cols>
    <col min="1" max="1" width="20" customWidth="1"/>
    <col min="2" max="2" width="13" customWidth="1"/>
    <col min="3" max="4" width="16" customWidth="1"/>
    <col min="5" max="5" width="14" customWidth="1"/>
  </cols>
  <sheetData>
    <row r="1" spans="1:5" ht="27.95" customHeight="1" x14ac:dyDescent="0.25">
      <c r="A1" s="6" t="s">
        <v>0</v>
      </c>
      <c r="B1" s="7"/>
      <c r="C1" s="7"/>
      <c r="D1" s="7"/>
      <c r="E1" s="7"/>
    </row>
    <row r="2" spans="1:5" ht="30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13</v>
      </c>
    </row>
    <row r="3" spans="1:5" x14ac:dyDescent="0.25">
      <c r="A3" s="2">
        <v>10</v>
      </c>
      <c r="B3" s="2">
        <v>10.199999999999999</v>
      </c>
      <c r="C3" s="2">
        <v>10.4</v>
      </c>
      <c r="D3" s="2">
        <v>9.8000000000000007</v>
      </c>
      <c r="E3" s="3">
        <f>(ABS(B3-A3)+ABS(C3-A3)+ABS(D3-A3))/3</f>
        <v>0.26666666666666633</v>
      </c>
    </row>
    <row r="4" spans="1:5" x14ac:dyDescent="0.25">
      <c r="A4" s="2">
        <v>20</v>
      </c>
      <c r="B4" s="2">
        <v>20.3</v>
      </c>
      <c r="C4" s="2">
        <v>19.600000000000001</v>
      </c>
      <c r="D4" s="2">
        <v>20.5</v>
      </c>
      <c r="E4" s="3">
        <f>(ABS(B4-A4)+ABS(C4-A4)+ABS(D4-A4))/3</f>
        <v>0.39999999999999974</v>
      </c>
    </row>
    <row r="5" spans="1:5" x14ac:dyDescent="0.25">
      <c r="A5" s="2">
        <v>30</v>
      </c>
      <c r="B5" s="2">
        <v>29.7</v>
      </c>
      <c r="C5" s="2">
        <v>30.6</v>
      </c>
      <c r="D5" s="2">
        <v>29.4</v>
      </c>
      <c r="E5" s="3">
        <f>(ABS(B5-A5)+ABS(C5-A5)+ABS(D5-A5))/3</f>
        <v>0.50000000000000122</v>
      </c>
    </row>
    <row r="6" spans="1:5" x14ac:dyDescent="0.25">
      <c r="A6" s="2">
        <v>50</v>
      </c>
      <c r="B6" s="2">
        <v>50.8</v>
      </c>
      <c r="C6" s="2">
        <v>49.1</v>
      </c>
      <c r="D6" s="2">
        <v>51.2</v>
      </c>
      <c r="E6" s="3">
        <f>(ABS(B6-A6)+ABS(C6-A6)+ABS(D6-A6))/3</f>
        <v>0.96666666666666623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4"/>
  <sheetViews>
    <sheetView workbookViewId="0"/>
  </sheetViews>
  <sheetFormatPr defaultRowHeight="15" x14ac:dyDescent="0.25"/>
  <cols>
    <col min="1" max="1" width="12" customWidth="1"/>
    <col min="2" max="2" width="22" customWidth="1"/>
    <col min="3" max="3" width="24" customWidth="1"/>
    <col min="4" max="4" width="34" customWidth="1"/>
  </cols>
  <sheetData>
    <row r="1" spans="1:4" ht="27.95" customHeight="1" x14ac:dyDescent="0.25">
      <c r="A1" s="6" t="s">
        <v>0</v>
      </c>
      <c r="B1" s="7"/>
      <c r="C1" s="7"/>
      <c r="D1" s="7"/>
    </row>
    <row r="2" spans="1:4" ht="30" x14ac:dyDescent="0.25">
      <c r="A2" s="1" t="s">
        <v>35</v>
      </c>
      <c r="B2" s="1" t="s">
        <v>36</v>
      </c>
      <c r="C2" s="1" t="s">
        <v>37</v>
      </c>
      <c r="D2" s="1" t="s">
        <v>38</v>
      </c>
    </row>
    <row r="3" spans="1:4" x14ac:dyDescent="0.25">
      <c r="A3" s="2">
        <v>1</v>
      </c>
      <c r="B3" s="2">
        <v>26.7</v>
      </c>
      <c r="C3" s="2" t="s">
        <v>39</v>
      </c>
      <c r="D3" s="5"/>
    </row>
    <row r="4" spans="1:4" x14ac:dyDescent="0.25">
      <c r="A4" s="2">
        <v>2</v>
      </c>
      <c r="B4" s="2">
        <v>29.3</v>
      </c>
      <c r="C4" s="2" t="s">
        <v>39</v>
      </c>
      <c r="D4" s="5"/>
    </row>
    <row r="5" spans="1:4" x14ac:dyDescent="0.25">
      <c r="A5" s="2">
        <v>3</v>
      </c>
      <c r="B5" s="2">
        <v>29.1</v>
      </c>
      <c r="C5" s="2" t="s">
        <v>39</v>
      </c>
      <c r="D5" s="5"/>
    </row>
    <row r="6" spans="1:4" x14ac:dyDescent="0.25">
      <c r="A6" s="2">
        <v>4</v>
      </c>
      <c r="B6" s="2">
        <v>27.1</v>
      </c>
      <c r="C6" s="2" t="s">
        <v>40</v>
      </c>
      <c r="D6" s="5" t="s">
        <v>41</v>
      </c>
    </row>
    <row r="7" spans="1:4" x14ac:dyDescent="0.25">
      <c r="A7" s="2">
        <v>5</v>
      </c>
      <c r="B7" s="2">
        <v>28.3</v>
      </c>
      <c r="C7" s="2" t="s">
        <v>39</v>
      </c>
      <c r="D7" s="5"/>
    </row>
    <row r="8" spans="1:4" x14ac:dyDescent="0.25">
      <c r="A8" s="2">
        <v>6</v>
      </c>
      <c r="B8" s="2">
        <v>27.4</v>
      </c>
      <c r="C8" s="2" t="s">
        <v>39</v>
      </c>
      <c r="D8" s="5"/>
    </row>
    <row r="9" spans="1:4" x14ac:dyDescent="0.25">
      <c r="A9" s="2">
        <v>7</v>
      </c>
      <c r="B9" s="2">
        <v>29.2</v>
      </c>
      <c r="C9" s="2" t="s">
        <v>39</v>
      </c>
      <c r="D9" s="5"/>
    </row>
    <row r="10" spans="1:4" x14ac:dyDescent="0.25">
      <c r="A10" s="2">
        <v>8</v>
      </c>
      <c r="B10" s="2">
        <v>27.6</v>
      </c>
      <c r="C10" s="2" t="s">
        <v>39</v>
      </c>
      <c r="D10" s="5"/>
    </row>
    <row r="11" spans="1:4" x14ac:dyDescent="0.25">
      <c r="A11" s="2">
        <v>9</v>
      </c>
      <c r="B11" s="2">
        <v>26.9</v>
      </c>
      <c r="C11" s="2" t="s">
        <v>40</v>
      </c>
      <c r="D11" s="5" t="s">
        <v>42</v>
      </c>
    </row>
    <row r="12" spans="1:4" x14ac:dyDescent="0.25">
      <c r="A12" s="2">
        <v>10</v>
      </c>
      <c r="B12" s="2">
        <v>26.9</v>
      </c>
      <c r="C12" s="2" t="s">
        <v>39</v>
      </c>
      <c r="D12" s="5"/>
    </row>
    <row r="13" spans="1:4" ht="30" x14ac:dyDescent="0.25">
      <c r="A13" s="4" t="s">
        <v>43</v>
      </c>
      <c r="B13" s="3" t="str">
        <f>COUNTIF(C3:C12,"Co")&amp;"/"&amp;COUNTA(C3:C12)&amp;" ("&amp;ROUND(COUNTIF(C3:C12,"Co")/COUNTA(C3:C12)*100,0)&amp;"%)"</f>
        <v>8/10 (80%)</v>
      </c>
      <c r="C13" s="2"/>
      <c r="D13" s="2"/>
    </row>
    <row r="14" spans="1:4" ht="30" x14ac:dyDescent="0.25">
      <c r="A14" s="4" t="s">
        <v>44</v>
      </c>
      <c r="B14" s="3">
        <f>AVERAGE(B3:B12)</f>
        <v>27.85</v>
      </c>
      <c r="C14" s="2"/>
      <c r="D14" s="2"/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2" customWidth="1"/>
    <col min="2" max="2" width="18" customWidth="1"/>
  </cols>
  <sheetData>
    <row r="1" spans="1:2" ht="27.95" customHeight="1" x14ac:dyDescent="0.25">
      <c r="A1" s="6" t="s">
        <v>0</v>
      </c>
      <c r="B1" s="7"/>
    </row>
    <row r="2" spans="1:2" x14ac:dyDescent="0.25">
      <c r="A2" s="1" t="s">
        <v>45</v>
      </c>
      <c r="B2" s="1" t="s">
        <v>46</v>
      </c>
    </row>
    <row r="3" spans="1:2" x14ac:dyDescent="0.25">
      <c r="A3" s="2">
        <v>30</v>
      </c>
      <c r="B3" s="2">
        <v>0.3</v>
      </c>
    </row>
    <row r="4" spans="1:2" x14ac:dyDescent="0.25">
      <c r="A4" s="2">
        <v>60</v>
      </c>
      <c r="B4" s="2">
        <v>0.6</v>
      </c>
    </row>
    <row r="5" spans="1:2" x14ac:dyDescent="0.25">
      <c r="A5" s="2">
        <v>300</v>
      </c>
      <c r="B5" s="2">
        <v>2.1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5.1 Quang duong</vt:lpstr>
      <vt:lpstr>5.2 Xoay goc</vt:lpstr>
      <vt:lpstr>5.3 Giu huong</vt:lpstr>
      <vt:lpstr>5.4 Node</vt:lpstr>
      <vt:lpstr>5.5 HC-SR04</vt:lpstr>
      <vt:lpstr>5.6 Ne vat can</vt:lpstr>
      <vt:lpstr>5.7 Drift yaw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Quốc Việt</cp:lastModifiedBy>
  <dcterms:created xsi:type="dcterms:W3CDTF">2026-06-23T02:45:16Z</dcterms:created>
  <dcterms:modified xsi:type="dcterms:W3CDTF">2026-06-25T13:12:30Z</dcterms:modified>
</cp:coreProperties>
</file>